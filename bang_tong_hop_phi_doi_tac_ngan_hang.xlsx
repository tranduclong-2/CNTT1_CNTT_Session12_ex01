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80"/>
  </bookViews>
  <sheets>
    <sheet name="Tổng hợp phí" sheetId="1" r:id="rId1"/>
  </sheets>
  <definedNames>
    <definedName name="_xlnm._FilterDatabase" localSheetId="0" hidden="1">'Tổng hợp phí'!$A$4:$I$15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<sst xmlns="http://schemas.openxmlformats.org/spreadsheetml/2006/main" count="40" uniqueCount="35">
  <si>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BẢNG TỔNG HỢP PHÍ TỪ ĐỐI TÁC NGÂN HÀNG</t>
  </si>
  <si>
    <t>Tháng 05/2024</t>
  </si>
  <si>
    <t>STT</t>
  </si>
  <si>
    <t>Ngân hàng đối tác</t>
  </si>
  <si>
    <t>Mã đối tác</t>
  </si>
  <si>
    <t>Số giao dịch (thành công)</t>
  </si>
  <si>
    <t>Doanh số (VND)</t>
  </si>
  <si>
    <t>Phí cố định (VND)</t>
  </si>
  <si>
    <t>Tỷ lệ phí (%)</t>
  </si>
  <si>
    <t>Phí biến đổi (VND)</t>
  </si>
  <si>
    <t>Tổng phí (VND)</t>
  </si>
  <si>
    <t>Vietcombank</t>
  </si>
  <si>
    <t>VCB</t>
  </si>
  <si>
    <t>BIDV</t>
  </si>
  <si>
    <t>VietinBank</t>
  </si>
  <si>
    <t>CTG</t>
  </si>
  <si>
    <t>TECHCOMBANK</t>
  </si>
  <si>
    <t>TCB</t>
  </si>
  <si>
    <t>MB Bank</t>
  </si>
  <si>
    <t>MBB</t>
  </si>
  <si>
    <t>ACB</t>
  </si>
  <si>
    <t>VPBank</t>
  </si>
  <si>
    <t>VPB</t>
  </si>
  <si>
    <t>TPBank</t>
  </si>
  <si>
    <t>TPB</t>
  </si>
  <si>
    <t>OCB</t>
  </si>
  <si>
    <t>SHB</t>
  </si>
  <si>
    <t>TỔNG CỘNG</t>
  </si>
  <si>
    <t/>
  </si>
  <si>
    <t>TỔNG HỢP</t>
  </si>
  <si>
    <t>Tổng doanh số (VND)</t>
  </si>
  <si>
    <t>Ghi chú</t>
  </si>
  <si>
    <t>Tổng số giao dịch</t>
  </si>
  <si>
    <t>Phí = Phí cố định + (Doanh số × Tỷ lệ phí). Dữ liệu được nhập lại theo bảng trong ảnh.</t>
  </si>
  <si>
    <t>Tỷ lệ phí bình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</si>
</sst>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0%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Arial"/>
      <charset val="134"/>
    </font>
    <font>
      <b/>
      <sz val="12"/>
      <color rgb="FF006B3C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color rgb="FF163D2A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6B3C"/>
        <bgColor indexed="64"/>
      </patternFill>
    </fill>
    <fill>
      <patternFill patternType="solid">
        <fgColor rgb="FF087443"/>
        <bgColor indexed="64"/>
      </patternFill>
    </fill>
    <fill>
      <patternFill patternType="solid">
        <fgColor rgb="FFF1F7F2"/>
        <bgColor indexed="64"/>
      </patternFill>
    </fill>
    <fill>
      <patternFill patternType="solid">
        <fgColor rgb="FFDDEBDD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3F6F0"/>
        <bgColor indexed="64"/>
      </patternFill>
    </fill>
    <fill>
      <patternFill patternType="solid">
        <fgColor rgb="FFE5EB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5DE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10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3" fontId="5" fillId="5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0" fontId="6" fillId="6" borderId="0" xfId="0" applyFont="1" applyFill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4" fillId="8" borderId="1" xfId="0" applyFont="1" applyFill="1" applyBorder="1"/>
    <xf numFmtId="3" fontId="4" fillId="8" borderId="1" xfId="0" applyNumberFormat="1" applyFont="1" applyFill="1" applyBorder="1"/>
    <xf numFmtId="0" fontId="4" fillId="7" borderId="0" xfId="0" applyFont="1" applyFill="1" applyAlignment="1">
      <alignment vertical="center" wrapText="1"/>
    </xf>
    <xf numFmtId="180" fontId="4" fillId="8" borderId="1" xfId="0" applyNumberFormat="1" applyFont="1" applyFill="1" applyBorder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showGridLines="0" tabSelected="1" workbookViewId="0">
      <pane ySplit="4" topLeftCell="A17" activePane="bottomLeft" state="frozen"/>
      <selection/>
      <selection pane="bottomLeft" activeCell="A1" sqref="A1:I1"/>
    </sheetView>
  </sheetViews>
  <sheetFormatPr defaultColWidth="9" defaultRowHeight="14.5"/>
  <cols>
    <col min="1" max="1" width="8" customWidth="1"/>
    <col min="2" max="2" width="20" customWidth="1"/>
    <col min="3" max="3" width="14" customWidth="1"/>
    <col min="4" max="5" width="22" customWidth="1"/>
    <col min="6" max="6" width="20" customWidth="1"/>
    <col min="7" max="7" width="15" customWidth="1"/>
    <col min="8" max="8" width="22" customWidth="1"/>
    <col min="9" max="9" width="20" customWidth="1"/>
  </cols>
  <sheetData>
    <row r="1" ht="30" customHeight="1" spans="1:9">
      <c r="A1" s="1" t="s">
        <v>0</v>
      </c>
    </row>
    <row r="2" ht="24" customHeight="1" spans="1:9">
      <c r="A2" s="2" t="s">
        <v>1</v>
      </c>
    </row>
    <row r="4" ht="42" customHeight="1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>
      <c r="A5" s="4">
        <v>1</v>
      </c>
      <c r="B5" s="5" t="s">
        <v>11</v>
      </c>
      <c r="C5" s="4" t="s">
        <v>12</v>
      </c>
      <c r="D5" s="6">
        <v>128345</v>
      </c>
      <c r="E5" s="6">
        <v>25364580000</v>
      </c>
      <c r="F5" s="6">
        <v>1000000</v>
      </c>
      <c r="G5" s="7">
        <v>0.0008</v>
      </c>
      <c r="H5" s="6">
        <v>20291664</v>
      </c>
      <c r="I5" s="6">
        <v>21291664</v>
      </c>
    </row>
    <row r="6" ht="22" customHeight="1" spans="1:9">
      <c r="A6" s="8">
        <v>2</v>
      </c>
      <c r="B6" s="9" t="s">
        <v>13</v>
      </c>
      <c r="C6" s="8" t="s">
        <v>13</v>
      </c>
      <c r="D6" s="10">
        <v>96732</v>
      </c>
      <c r="E6" s="10">
        <v>18245760000</v>
      </c>
      <c r="F6" s="10">
        <v>1000000</v>
      </c>
      <c r="G6" s="11">
        <v>0.0008</v>
      </c>
      <c r="H6" s="10">
        <v>14596608</v>
      </c>
      <c r="I6" s="10">
        <v>15596608</v>
      </c>
    </row>
    <row r="7" ht="22" customHeight="1" spans="1:9">
      <c r="A7" s="4">
        <v>3</v>
      </c>
      <c r="B7" s="5" t="s">
        <v>14</v>
      </c>
      <c r="C7" s="4" t="s">
        <v>15</v>
      </c>
      <c r="D7" s="6">
        <v>87531</v>
      </c>
      <c r="E7" s="6">
        <v>16834210000</v>
      </c>
      <c r="F7" s="6">
        <v>1000000</v>
      </c>
      <c r="G7" s="7">
        <v>0.0007</v>
      </c>
      <c r="H7" s="6">
        <v>11783947</v>
      </c>
      <c r="I7" s="6">
        <v>12783947</v>
      </c>
    </row>
    <row r="8" ht="22" customHeight="1" spans="1:9">
      <c r="A8" s="8">
        <v>4</v>
      </c>
      <c r="B8" s="9" t="s">
        <v>16</v>
      </c>
      <c r="C8" s="8" t="s">
        <v>17</v>
      </c>
      <c r="D8" s="10">
        <v>74113</v>
      </c>
      <c r="E8" s="10">
        <v>14102330000</v>
      </c>
      <c r="F8" s="10">
        <v>1000000</v>
      </c>
      <c r="G8" s="11">
        <v>0.0007</v>
      </c>
      <c r="H8" s="10">
        <v>9871631</v>
      </c>
      <c r="I8" s="10">
        <v>10871631</v>
      </c>
    </row>
    <row r="9" ht="22" customHeight="1" spans="1:9">
      <c r="A9" s="4">
        <v>5</v>
      </c>
      <c r="B9" s="5" t="s">
        <v>18</v>
      </c>
      <c r="C9" s="4" t="s">
        <v>19</v>
      </c>
      <c r="D9" s="6">
        <v>63921</v>
      </c>
      <c r="E9" s="6">
        <v>12009880000</v>
      </c>
      <c r="F9" s="6">
        <v>1000000</v>
      </c>
      <c r="G9" s="7">
        <v>0.0008</v>
      </c>
      <c r="H9" s="6">
        <v>9607904</v>
      </c>
      <c r="I9" s="6">
        <v>10607904</v>
      </c>
    </row>
    <row r="10" ht="22" customHeight="1" spans="1:9">
      <c r="A10" s="8">
        <v>6</v>
      </c>
      <c r="B10" s="9" t="s">
        <v>20</v>
      </c>
      <c r="C10" s="8" t="s">
        <v>20</v>
      </c>
      <c r="D10" s="10">
        <v>52448</v>
      </c>
      <c r="E10" s="10">
        <v>9455230000</v>
      </c>
      <c r="F10" s="10">
        <v>1000000</v>
      </c>
      <c r="G10" s="11">
        <v>0.0008</v>
      </c>
      <c r="H10" s="10">
        <v>7564184</v>
      </c>
      <c r="I10" s="10">
        <v>8564184</v>
      </c>
    </row>
    <row r="11" ht="22" customHeight="1" spans="1:9">
      <c r="A11" s="4">
        <v>7</v>
      </c>
      <c r="B11" s="5" t="s">
        <v>21</v>
      </c>
      <c r="C11" s="4" t="s">
        <v>22</v>
      </c>
      <c r="D11" s="6">
        <v>49302</v>
      </c>
      <c r="E11" s="6">
        <v>8921450000</v>
      </c>
      <c r="F11" s="6">
        <v>1000000</v>
      </c>
      <c r="G11" s="7">
        <v>0.0008</v>
      </c>
      <c r="H11" s="6">
        <v>7137160</v>
      </c>
      <c r="I11" s="6">
        <v>8137160</v>
      </c>
    </row>
    <row r="12" ht="22" customHeight="1" spans="1:9">
      <c r="A12" s="8">
        <v>8</v>
      </c>
      <c r="B12" s="9" t="s">
        <v>23</v>
      </c>
      <c r="C12" s="8" t="s">
        <v>24</v>
      </c>
      <c r="D12" s="10">
        <v>38654</v>
      </c>
      <c r="E12" s="10">
        <v>6784120000</v>
      </c>
      <c r="F12" s="10">
        <v>1000000</v>
      </c>
      <c r="G12" s="11">
        <v>0.0008</v>
      </c>
      <c r="H12" s="10">
        <v>5427296</v>
      </c>
      <c r="I12" s="10">
        <v>6427296</v>
      </c>
    </row>
    <row r="13" ht="22" customHeight="1" spans="1:9">
      <c r="A13" s="4">
        <v>9</v>
      </c>
      <c r="B13" s="5" t="s">
        <v>25</v>
      </c>
      <c r="C13" s="4" t="s">
        <v>25</v>
      </c>
      <c r="D13" s="6">
        <v>27832</v>
      </c>
      <c r="E13" s="6">
        <v>4982630000</v>
      </c>
      <c r="F13" s="6">
        <v>1000000</v>
      </c>
      <c r="G13" s="7">
        <v>0.0008</v>
      </c>
      <c r="H13" s="6">
        <v>3986104</v>
      </c>
      <c r="I13" s="6">
        <v>4986104</v>
      </c>
    </row>
    <row r="14" ht="22" customHeight="1" spans="1:9">
      <c r="A14" s="8">
        <v>10</v>
      </c>
      <c r="B14" s="9" t="s">
        <v>26</v>
      </c>
      <c r="C14" s="8" t="s">
        <v>26</v>
      </c>
      <c r="D14" s="10">
        <v>22145</v>
      </c>
      <c r="E14" s="10">
        <v>3765230000</v>
      </c>
      <c r="F14" s="10">
        <v>1000000</v>
      </c>
      <c r="G14" s="11">
        <v>0.0008</v>
      </c>
      <c r="H14" s="10">
        <v>3012184</v>
      </c>
      <c r="I14" s="10">
        <v>4012184</v>
      </c>
    </row>
    <row r="15" ht="23" customHeight="1" spans="1:9">
      <c r="A15" s="12" t="s">
        <v>27</v>
      </c>
      <c r="B15" s="12"/>
      <c r="C15" s="12"/>
      <c r="D15" s="13">
        <f>SUM(D5:D14)</f>
        <v>641023</v>
      </c>
      <c r="E15" s="13">
        <f>SUM(E5:E14)</f>
        <v>120465420000</v>
      </c>
      <c r="F15" s="13">
        <f>SUM(F5:F14)</f>
        <v>10000000</v>
      </c>
      <c r="G15" s="14" t="s">
        <v>28</v>
      </c>
      <c r="H15" s="13">
        <f>SUM(H5:H14)</f>
        <v>93278682</v>
      </c>
      <c r="I15" s="13">
        <f>SUM(I5:I14)</f>
        <v>103278682</v>
      </c>
    </row>
    <row r="18" spans="2:5">
      <c r="B18" s="15" t="s">
        <v>29</v>
      </c>
    </row>
    <row r="19" spans="2:5">
      <c r="B19" s="16" t="s">
        <v>30</v>
      </c>
      <c r="C19" s="17">
        <f>SUM(E5:E14)</f>
        <v>120465420000</v>
      </c>
      <c r="E19" s="15" t="s">
        <v>31</v>
      </c>
    </row>
    <row r="20" spans="2:5">
      <c r="B20" s="18" t="s">
        <v>32</v>
      </c>
      <c r="C20" s="19">
        <f>SUM(D5:D14)</f>
        <v>641023</v>
      </c>
      <c r="E20" s="20" t="s">
        <v>33</v>
      </c>
    </row>
    <row r="21" spans="2:5">
      <c r="B21" s="16" t="s">
        <v>10</v>
      </c>
      <c r="C21" s="17">
        <f>SUM(I5:I14)</f>
        <v>103278682</v>
      </c>
    </row>
    <row r="22" spans="2:5">
      <c r="B22" s="18" t="s">
        <v>34</v>
      </c>
      <c r="C22" s="21">
        <f>C21/C19</f>
        <v>0.000857330526884811</v>
      </c>
    </row>
  </sheetData>
  <autoFilter xmlns:etc="http://www.wps.cn/officeDocument/2017/etCustomData" ref="A4:I15" etc:filterBottomFollowUsedRange="0">
    <extLst/>
  </autoFilter>
  <mergeCells count="4">
    <mergeCell ref="A1:I1"/>
    <mergeCell ref="A2:I2"/>
    <mergeCell ref="A15:C15"/>
    <mergeCell ref="E20:I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Tổng hợp phí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Long Trần</cp:lastModifiedBy>
  <dcterms:created xsi:type="dcterms:W3CDTF">2026-10-26T01:57:00Z</dcterms:created>
  <dcterms:modified xsi:type="dcterms:W3CDTF">2026-10-26T13:20:41Z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D24D7396A77546BF9A1F5F61AEC137A4_12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